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1E02149B-A32D-4E63-A9EE-EF6740896D2E}" xr6:coauthVersionLast="47" xr6:coauthVersionMax="47" xr10:uidLastSave="{00000000-0000-0000-0000-000000000000}"/>
  <bookViews>
    <workbookView xWindow="-108" yWindow="-108" windowWidth="30936" windowHeight="16776" xr2:uid="{88A5172C-F0D2-4F21-BD69-DE931F7AA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2" i="1"/>
</calcChain>
</file>

<file path=xl/sharedStrings.xml><?xml version="1.0" encoding="utf-8"?>
<sst xmlns="http://schemas.openxmlformats.org/spreadsheetml/2006/main" count="172" uniqueCount="63">
  <si>
    <t>L1</t>
  </si>
  <si>
    <t>SFT</t>
  </si>
  <si>
    <t>meta-llama/Llama-3.1-8B</t>
  </si>
  <si>
    <t>QUANTIZE</t>
  </si>
  <si>
    <t>meta-llama/Llama-3.1-8B-Instruct</t>
  </si>
  <si>
    <t>unsloth/Meta-Llama-3.1-8B-Instruct-bnb-4bit</t>
  </si>
  <si>
    <t>L2</t>
  </si>
  <si>
    <t>MERGE</t>
  </si>
  <si>
    <t>arcee-ai/Llama-3.1-SuperNova-Lite</t>
  </si>
  <si>
    <t>akjindal53244/Llama-3.1-Storm-8B</t>
  </si>
  <si>
    <t>Orenguteng/Llama-3.1-8B-Lexi-Uncensored-V2</t>
  </si>
  <si>
    <t>unsloth/Meta-Llama-3.1-8B-Instruct</t>
  </si>
  <si>
    <t>T145/ZEUS-8B-V2</t>
  </si>
  <si>
    <t>L3</t>
  </si>
  <si>
    <t>netcat420/MFANNv0.22.1</t>
  </si>
  <si>
    <t>mlabonne/Meta-Llama-3.1-8B-Instruct-abliterated</t>
  </si>
  <si>
    <t>netcat420/MFANN-llama3.1-abliterated-v2</t>
  </si>
  <si>
    <t>netcat420/MFANN-llama3.1-abliterated-SLERP-v3</t>
  </si>
  <si>
    <t>netcat420/MFANN-llama3.1-abliterated-SLERP-v3.1</t>
  </si>
  <si>
    <t>M1</t>
  </si>
  <si>
    <t>mistralai/Mistral-7B-v0.1</t>
  </si>
  <si>
    <t>teknium/OpenHermes-2.5-Mistral-7B</t>
  </si>
  <si>
    <t>argilla/CapybaraHermes-2.5-Mistral-7B</t>
  </si>
  <si>
    <t>argilla/distilabeled-OpenHermes-2.5-Mistral-7B</t>
  </si>
  <si>
    <t>Yuma42/KangalKhan-RawEmerald-7B</t>
  </si>
  <si>
    <t>Yuma42/KangalKhan-Ruby-7B-Fixed</t>
  </si>
  <si>
    <t>Yuma42/KangalKhan-RawRuby-7B</t>
  </si>
  <si>
    <t>M2</t>
  </si>
  <si>
    <t>mistralai/Mistral-7B-Instruct-v0.2</t>
  </si>
  <si>
    <t>HuggingFaceH4/mistral-7b-grok</t>
  </si>
  <si>
    <t>dphn/dolphin-2.8-mistral-7b-v02</t>
  </si>
  <si>
    <t>nasiruddin15/Mistral-grok-instract-2-7B-slerp</t>
  </si>
  <si>
    <t>nasiruddin15/Mistral-dolphin-2.8-grok-instract-2-7B-slerp</t>
  </si>
  <si>
    <t>Qwen/Qwen2.5-7B</t>
  </si>
  <si>
    <t>Qwen/Qwen2.5-7B-Instruct</t>
  </si>
  <si>
    <t>open-thoughts/OpenThinker-7B</t>
  </si>
  <si>
    <t>SvalTek/Qwen2.5-ColdBrew-Antrax</t>
  </si>
  <si>
    <t>bunnycore/Qwen2.5-7B-RRP-1M</t>
  </si>
  <si>
    <t>SvalTek/Qwen2.5-ColdBrew-Antrax-test2</t>
  </si>
  <si>
    <t>Theros/Qwen2.5-ColdBrew-R1</t>
  </si>
  <si>
    <t>SvalTek/Qwen2.5-ColdBrew-Solipsis</t>
  </si>
  <si>
    <t>x</t>
  </si>
  <si>
    <t>Chain</t>
  </si>
  <si>
    <t>Type</t>
  </si>
  <si>
    <t>Base</t>
  </si>
  <si>
    <t>Derive</t>
  </si>
  <si>
    <t>johnpaulbin/llama3.1-8b-e2-epoch3-merged-fp16</t>
  </si>
  <si>
    <t>T145/ZEUS-8B-V2-abliterated</t>
  </si>
  <si>
    <t>mradermacher/MFANN-llama3.1-abliterated-SLERP-v3.1-i1-GGUF MFANN-llama3.1-abliterated-SLERP-v3.1.i1-Q4_0.gguf</t>
  </si>
  <si>
    <t>mradermacher/Mistral-dolphin-2.8-grok-instract-2-7B-slerp-GGUF Mistral-dolphin-2.8-grok-instract-2-7B-slerp.Q4_K_M.gguf</t>
  </si>
  <si>
    <t>mradermacher/Qwen2.5-ColdBrew-Solipsis-GGUF Qwen2.5-ColdBrew-Solipsis.Q4_K_M.gguf</t>
  </si>
  <si>
    <t>Q1</t>
    <phoneticPr fontId="8" type="noConversion"/>
  </si>
  <si>
    <t>Base HR</t>
  </si>
  <si>
    <t>Base JSR</t>
  </si>
  <si>
    <t>Base PSR</t>
  </si>
  <si>
    <t>Derive 
HR</t>
  </si>
  <si>
    <t>Derive JSR</t>
  </si>
  <si>
    <t>Derive PSR</t>
  </si>
  <si>
    <t>Delta HR</t>
  </si>
  <si>
    <t>Delta JSR</t>
  </si>
  <si>
    <t>Delta PSR</t>
  </si>
  <si>
    <t>OTHERS</t>
  </si>
  <si>
    <t>OTHERS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</si>
</sst>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color rgb="FF753800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12"/>
      <color rgb="FFB10202"/>
      <name val="Arial"/>
      <family val="2"/>
    </font>
    <font>
      <sz val="12"/>
      <color rgb="FF215A6C"/>
      <name val="Arial"/>
      <family val="2"/>
    </font>
    <font>
      <b/>
      <sz val="12"/>
      <color theme="1"/>
      <name val="Arial"/>
      <family val="2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6D7A8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4" fillId="4" borderId="1" xfId="1" applyNumberFormat="1" applyFont="1" applyFill="1" applyBorder="1" applyAlignment="1">
      <alignment horizontal="center" wrapText="1"/>
    </xf>
    <xf numFmtId="10" fontId="4" fillId="5" borderId="1" xfId="1" applyNumberFormat="1" applyFont="1" applyFill="1" applyBorder="1" applyAlignment="1">
      <alignment horizontal="center" wrapText="1"/>
    </xf>
    <xf numFmtId="10" fontId="4" fillId="6" borderId="1" xfId="1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1B31-55A1-4181-BAAD-9E1184374632}">
  <dimension ref="A1:M39"/>
  <sheetViews>
    <sheetView tabSelected="1" workbookViewId="0">
      <selection activeCell="P24" sqref="P24"/>
    </sheetView>
  </sheetViews>
  <sheetFormatPr defaultRowHeight="13.8" x14ac:dyDescent="0.25"/>
  <cols>
    <col min="1" max="1" width="9.5546875" style="4" customWidth="1"/>
    <col min="2" max="2" width="18.6640625" style="4" customWidth="1"/>
    <col min="3" max="3" width="39.44140625" style="4" customWidth="1"/>
    <col min="4" max="4" width="40" style="4" customWidth="1"/>
    <col min="5" max="5" width="11.109375" style="4" customWidth="1"/>
    <col min="6" max="6" width="9.109375" style="4" customWidth="1"/>
    <col min="7" max="10" width="9.109375" style="4" bestFit="1" customWidth="1"/>
    <col min="11" max="11" width="9.77734375" style="4" bestFit="1" customWidth="1"/>
    <col min="12" max="12" width="11" style="4" bestFit="1" customWidth="1"/>
    <col min="13" max="13" width="9.77734375" style="4" bestFit="1" customWidth="1"/>
    <col min="14" max="16384" width="8.88671875" style="4"/>
  </cols>
  <sheetData>
    <row r="1" spans="1:13" ht="31.8" thickBot="1" x14ac:dyDescent="0.35">
      <c r="A1" s="3" t="s">
        <v>42</v>
      </c>
      <c r="B1" s="7" t="s">
        <v>43</v>
      </c>
      <c r="C1" s="12" t="s">
        <v>44</v>
      </c>
      <c r="D1" s="8" t="s">
        <v>45</v>
      </c>
      <c r="E1" s="9" t="s">
        <v>52</v>
      </c>
      <c r="F1" s="9" t="s">
        <v>53</v>
      </c>
      <c r="G1" s="9" t="s">
        <v>54</v>
      </c>
      <c r="H1" s="10" t="s">
        <v>55</v>
      </c>
      <c r="I1" s="10" t="s">
        <v>56</v>
      </c>
      <c r="J1" s="10" t="s">
        <v>57</v>
      </c>
      <c r="K1" s="11" t="s">
        <v>58</v>
      </c>
      <c r="L1" s="11" t="s">
        <v>59</v>
      </c>
      <c r="M1" s="11" t="s">
        <v>60</v>
      </c>
    </row>
    <row r="2" spans="1:13" ht="15.6" thickBot="1" x14ac:dyDescent="0.3">
      <c r="A2" s="1" t="s">
        <v>0</v>
      </c>
      <c r="B2" s="6" t="s">
        <v>1</v>
      </c>
      <c r="C2" s="17" t="s">
        <v>2</v>
      </c>
      <c r="D2" s="13" t="s">
        <v>4</v>
      </c>
      <c r="E2" s="14">
        <v>0.23449999999999999</v>
      </c>
      <c r="F2" s="14">
        <v>0.61919999999999997</v>
      </c>
      <c r="G2" s="14">
        <v>0.35930000000000001</v>
      </c>
      <c r="H2" s="15">
        <v>1.9800000000000002E-2</v>
      </c>
      <c r="I2" s="15">
        <v>0.47689999999999999</v>
      </c>
      <c r="J2" s="15">
        <v>0.51029999999999998</v>
      </c>
      <c r="K2" s="16">
        <f>H2-E2</f>
        <v>-0.21469999999999997</v>
      </c>
      <c r="L2" s="16">
        <f t="shared" ref="L2:M17" si="0">I2-F2</f>
        <v>-0.14229999999999998</v>
      </c>
      <c r="M2" s="16">
        <f t="shared" si="0"/>
        <v>0.15099999999999997</v>
      </c>
    </row>
    <row r="3" spans="1:13" ht="15.6" thickBot="1" x14ac:dyDescent="0.3">
      <c r="A3" s="1" t="s">
        <v>0</v>
      </c>
      <c r="B3" s="1" t="s">
        <v>3</v>
      </c>
      <c r="C3" s="17" t="s">
        <v>4</v>
      </c>
      <c r="D3" s="13" t="s">
        <v>5</v>
      </c>
      <c r="E3" s="14">
        <v>1.9800000000000002E-2</v>
      </c>
      <c r="F3" s="14">
        <v>0.47689999999999999</v>
      </c>
      <c r="G3" s="14">
        <v>0.51029999999999998</v>
      </c>
      <c r="H3" s="15">
        <v>2.0500000000000001E-2</v>
      </c>
      <c r="I3" s="15">
        <v>0.46350000000000002</v>
      </c>
      <c r="J3" s="15">
        <v>0.44940000000000002</v>
      </c>
      <c r="K3" s="16">
        <f t="shared" ref="K3:K39" si="1">H3-E3</f>
        <v>6.9999999999999923E-4</v>
      </c>
      <c r="L3" s="16">
        <f t="shared" si="0"/>
        <v>-1.3399999999999967E-2</v>
      </c>
      <c r="M3" s="16">
        <f t="shared" si="0"/>
        <v>-6.0899999999999954E-2</v>
      </c>
    </row>
    <row r="4" spans="1:13" ht="15.6" thickBot="1" x14ac:dyDescent="0.3">
      <c r="A4" s="1" t="s">
        <v>0</v>
      </c>
      <c r="B4" s="5" t="s">
        <v>62</v>
      </c>
      <c r="C4" s="17" t="s">
        <v>5</v>
      </c>
      <c r="D4" s="13" t="s">
        <v>46</v>
      </c>
      <c r="E4" s="14">
        <v>2.0500000000000001E-2</v>
      </c>
      <c r="F4" s="14">
        <v>0.46350000000000002</v>
      </c>
      <c r="G4" s="14">
        <v>0.44940000000000002</v>
      </c>
      <c r="H4" s="15">
        <v>0.93899999999999995</v>
      </c>
      <c r="I4" s="15">
        <v>0.37309999999999999</v>
      </c>
      <c r="J4" s="15">
        <v>5.5100000000000003E-2</v>
      </c>
      <c r="K4" s="16">
        <f t="shared" si="1"/>
        <v>0.91849999999999998</v>
      </c>
      <c r="L4" s="16">
        <f t="shared" si="0"/>
        <v>-9.0400000000000036E-2</v>
      </c>
      <c r="M4" s="16">
        <f t="shared" si="0"/>
        <v>-0.39430000000000004</v>
      </c>
    </row>
    <row r="5" spans="1:13" ht="15.6" thickBot="1" x14ac:dyDescent="0.3">
      <c r="A5" s="1" t="s">
        <v>6</v>
      </c>
      <c r="B5" s="6" t="s">
        <v>1</v>
      </c>
      <c r="C5" s="17" t="s">
        <v>2</v>
      </c>
      <c r="D5" s="13" t="s">
        <v>4</v>
      </c>
      <c r="E5" s="14">
        <v>0.23449999999999999</v>
      </c>
      <c r="F5" s="14">
        <v>0.61919999999999997</v>
      </c>
      <c r="G5" s="14">
        <v>0.35930000000000001</v>
      </c>
      <c r="H5" s="15">
        <v>1.9800000000000002E-2</v>
      </c>
      <c r="I5" s="15">
        <v>0.47689999999999999</v>
      </c>
      <c r="J5" s="15">
        <v>0.51029999999999998</v>
      </c>
      <c r="K5" s="16">
        <f t="shared" si="1"/>
        <v>-0.21469999999999997</v>
      </c>
      <c r="L5" s="16">
        <f t="shared" si="0"/>
        <v>-0.14229999999999998</v>
      </c>
      <c r="M5" s="16">
        <f t="shared" si="0"/>
        <v>0.15099999999999997</v>
      </c>
    </row>
    <row r="6" spans="1:13" ht="15.6" thickBot="1" x14ac:dyDescent="0.3">
      <c r="A6" s="1" t="s">
        <v>6</v>
      </c>
      <c r="B6" s="5" t="s">
        <v>61</v>
      </c>
      <c r="C6" s="17" t="s">
        <v>4</v>
      </c>
      <c r="D6" s="13" t="s">
        <v>11</v>
      </c>
      <c r="E6" s="14">
        <v>1.9800000000000002E-2</v>
      </c>
      <c r="F6" s="14">
        <v>0.47689999999999999</v>
      </c>
      <c r="G6" s="14">
        <v>0.51029999999999998</v>
      </c>
      <c r="H6" s="15">
        <v>2.0500000000000001E-2</v>
      </c>
      <c r="I6" s="15">
        <v>0.49419999999999997</v>
      </c>
      <c r="J6" s="15">
        <v>0.39810000000000001</v>
      </c>
      <c r="K6" s="16">
        <f t="shared" si="1"/>
        <v>6.9999999999999923E-4</v>
      </c>
      <c r="L6" s="16">
        <f t="shared" si="0"/>
        <v>1.7299999999999982E-2</v>
      </c>
      <c r="M6" s="16">
        <f t="shared" si="0"/>
        <v>-0.11219999999999997</v>
      </c>
    </row>
    <row r="7" spans="1:13" ht="15.6" thickBot="1" x14ac:dyDescent="0.3">
      <c r="A7" s="1" t="s">
        <v>6</v>
      </c>
      <c r="B7" s="2" t="s">
        <v>7</v>
      </c>
      <c r="C7" s="17" t="s">
        <v>8</v>
      </c>
      <c r="D7" s="13" t="s">
        <v>12</v>
      </c>
      <c r="E7" s="14">
        <v>2.3599999999999999E-2</v>
      </c>
      <c r="F7" s="14">
        <v>0.52500000000000002</v>
      </c>
      <c r="G7" s="14">
        <v>0.60670000000000002</v>
      </c>
      <c r="H7" s="15">
        <v>2.18E-2</v>
      </c>
      <c r="I7" s="15">
        <v>0.7712</v>
      </c>
      <c r="J7" s="15">
        <v>0.54</v>
      </c>
      <c r="K7" s="16">
        <f t="shared" si="1"/>
        <v>-1.7999999999999995E-3</v>
      </c>
      <c r="L7" s="16">
        <f t="shared" si="0"/>
        <v>0.24619999999999997</v>
      </c>
      <c r="M7" s="16">
        <f t="shared" si="0"/>
        <v>-6.6699999999999982E-2</v>
      </c>
    </row>
    <row r="8" spans="1:13" ht="15.6" thickBot="1" x14ac:dyDescent="0.3">
      <c r="A8" s="1" t="s">
        <v>6</v>
      </c>
      <c r="B8" s="2" t="s">
        <v>7</v>
      </c>
      <c r="C8" s="17" t="s">
        <v>9</v>
      </c>
      <c r="D8" s="13" t="s">
        <v>12</v>
      </c>
      <c r="E8" s="14">
        <v>1.6400000000000001E-2</v>
      </c>
      <c r="F8" s="14">
        <v>0.48849999999999999</v>
      </c>
      <c r="G8" s="14">
        <v>0.53610000000000002</v>
      </c>
      <c r="H8" s="15">
        <v>2.18E-2</v>
      </c>
      <c r="I8" s="15">
        <v>0.7712</v>
      </c>
      <c r="J8" s="15">
        <v>0.54</v>
      </c>
      <c r="K8" s="16">
        <f t="shared" si="1"/>
        <v>5.3999999999999986E-3</v>
      </c>
      <c r="L8" s="16">
        <f t="shared" si="0"/>
        <v>0.28270000000000001</v>
      </c>
      <c r="M8" s="16">
        <f t="shared" si="0"/>
        <v>3.9000000000000146E-3</v>
      </c>
    </row>
    <row r="9" spans="1:13" ht="15.6" thickBot="1" x14ac:dyDescent="0.3">
      <c r="A9" s="1" t="s">
        <v>6</v>
      </c>
      <c r="B9" s="2" t="s">
        <v>7</v>
      </c>
      <c r="C9" s="17" t="s">
        <v>10</v>
      </c>
      <c r="D9" s="13" t="s">
        <v>12</v>
      </c>
      <c r="E9" s="14">
        <v>1.7299999999999999E-2</v>
      </c>
      <c r="F9" s="14">
        <v>0.9173</v>
      </c>
      <c r="G9" s="14">
        <v>0.44979999999999998</v>
      </c>
      <c r="H9" s="15">
        <v>2.18E-2</v>
      </c>
      <c r="I9" s="15">
        <v>0.7712</v>
      </c>
      <c r="J9" s="15">
        <v>0.54</v>
      </c>
      <c r="K9" s="16">
        <f t="shared" si="1"/>
        <v>4.5000000000000005E-3</v>
      </c>
      <c r="L9" s="16">
        <f t="shared" si="0"/>
        <v>-0.14610000000000001</v>
      </c>
      <c r="M9" s="16">
        <f t="shared" si="0"/>
        <v>9.0200000000000058E-2</v>
      </c>
    </row>
    <row r="10" spans="1:13" ht="15.6" thickBot="1" x14ac:dyDescent="0.3">
      <c r="A10" s="1" t="s">
        <v>6</v>
      </c>
      <c r="B10" s="2" t="s">
        <v>7</v>
      </c>
      <c r="C10" s="17" t="s">
        <v>11</v>
      </c>
      <c r="D10" s="13" t="s">
        <v>12</v>
      </c>
      <c r="E10" s="14">
        <v>2.0500000000000001E-2</v>
      </c>
      <c r="F10" s="14">
        <v>0.49419999999999997</v>
      </c>
      <c r="G10" s="14">
        <v>0.39810000000000001</v>
      </c>
      <c r="H10" s="15">
        <v>2.18E-2</v>
      </c>
      <c r="I10" s="15">
        <v>0.7712</v>
      </c>
      <c r="J10" s="15">
        <v>0.54</v>
      </c>
      <c r="K10" s="16">
        <f t="shared" si="1"/>
        <v>1.2999999999999991E-3</v>
      </c>
      <c r="L10" s="16">
        <f t="shared" si="0"/>
        <v>0.27700000000000002</v>
      </c>
      <c r="M10" s="16">
        <f t="shared" si="0"/>
        <v>0.14190000000000003</v>
      </c>
    </row>
    <row r="11" spans="1:13" ht="15.6" thickBot="1" x14ac:dyDescent="0.3">
      <c r="A11" s="1" t="s">
        <v>6</v>
      </c>
      <c r="B11" s="5" t="s">
        <v>61</v>
      </c>
      <c r="C11" s="17" t="s">
        <v>12</v>
      </c>
      <c r="D11" s="13" t="s">
        <v>47</v>
      </c>
      <c r="E11" s="14">
        <v>2.18E-2</v>
      </c>
      <c r="F11" s="14">
        <v>0.7712</v>
      </c>
      <c r="G11" s="14">
        <v>0.54</v>
      </c>
      <c r="H11" s="15">
        <v>1.6500000000000001E-2</v>
      </c>
      <c r="I11" s="15">
        <v>0.88080000000000003</v>
      </c>
      <c r="J11" s="15">
        <v>0.53320000000000001</v>
      </c>
      <c r="K11" s="16">
        <f t="shared" si="1"/>
        <v>-5.2999999999999992E-3</v>
      </c>
      <c r="L11" s="16">
        <f t="shared" si="0"/>
        <v>0.10960000000000003</v>
      </c>
      <c r="M11" s="16">
        <f t="shared" si="0"/>
        <v>-6.8000000000000282E-3</v>
      </c>
    </row>
    <row r="12" spans="1:13" ht="15.6" thickBot="1" x14ac:dyDescent="0.3">
      <c r="A12" s="1" t="s">
        <v>13</v>
      </c>
      <c r="B12" s="6" t="s">
        <v>1</v>
      </c>
      <c r="C12" s="17" t="s">
        <v>2</v>
      </c>
      <c r="D12" s="13" t="s">
        <v>4</v>
      </c>
      <c r="E12" s="14">
        <v>0.23449999999999999</v>
      </c>
      <c r="F12" s="14">
        <v>0.61919999999999997</v>
      </c>
      <c r="G12" s="14">
        <v>0.35930000000000001</v>
      </c>
      <c r="H12" s="15">
        <v>1.9800000000000002E-2</v>
      </c>
      <c r="I12" s="15">
        <v>0.47689999999999999</v>
      </c>
      <c r="J12" s="15">
        <v>0.51029999999999998</v>
      </c>
      <c r="K12" s="16">
        <f t="shared" si="1"/>
        <v>-0.21469999999999997</v>
      </c>
      <c r="L12" s="16">
        <f t="shared" si="0"/>
        <v>-0.14229999999999998</v>
      </c>
      <c r="M12" s="16">
        <f t="shared" si="0"/>
        <v>0.15099999999999997</v>
      </c>
    </row>
    <row r="13" spans="1:13" ht="15.6" thickBot="1" x14ac:dyDescent="0.3">
      <c r="A13" s="1" t="s">
        <v>13</v>
      </c>
      <c r="B13" s="5" t="s">
        <v>61</v>
      </c>
      <c r="C13" s="17" t="s">
        <v>4</v>
      </c>
      <c r="D13" s="13" t="s">
        <v>15</v>
      </c>
      <c r="E13" s="14">
        <v>1.9800000000000002E-2</v>
      </c>
      <c r="F13" s="14">
        <v>0.47689999999999999</v>
      </c>
      <c r="G13" s="14">
        <v>0.51029999999999998</v>
      </c>
      <c r="H13" s="15">
        <v>2.4500000000000001E-2</v>
      </c>
      <c r="I13" s="15">
        <v>0.8115</v>
      </c>
      <c r="J13" s="15">
        <v>0.45650000000000002</v>
      </c>
      <c r="K13" s="16">
        <f t="shared" si="1"/>
        <v>4.6999999999999993E-3</v>
      </c>
      <c r="L13" s="16">
        <f t="shared" si="0"/>
        <v>0.33460000000000001</v>
      </c>
      <c r="M13" s="16">
        <f t="shared" si="0"/>
        <v>-5.3799999999999959E-2</v>
      </c>
    </row>
    <row r="14" spans="1:13" ht="15.6" thickBot="1" x14ac:dyDescent="0.3">
      <c r="A14" s="1" t="s">
        <v>13</v>
      </c>
      <c r="B14" s="2" t="s">
        <v>7</v>
      </c>
      <c r="C14" s="17" t="s">
        <v>14</v>
      </c>
      <c r="D14" s="13" t="s">
        <v>17</v>
      </c>
      <c r="E14" s="14">
        <v>5.2400000000000002E-2</v>
      </c>
      <c r="F14" s="14">
        <v>0.86539999999999995</v>
      </c>
      <c r="G14" s="14">
        <v>0.39090000000000003</v>
      </c>
      <c r="H14" s="15">
        <v>3.6900000000000002E-2</v>
      </c>
      <c r="I14" s="15">
        <v>0.82879999999999998</v>
      </c>
      <c r="J14" s="15">
        <v>0.47289999999999999</v>
      </c>
      <c r="K14" s="16">
        <f t="shared" si="1"/>
        <v>-1.55E-2</v>
      </c>
      <c r="L14" s="16">
        <f t="shared" si="0"/>
        <v>-3.6599999999999966E-2</v>
      </c>
      <c r="M14" s="16">
        <f t="shared" si="0"/>
        <v>8.1999999999999962E-2</v>
      </c>
    </row>
    <row r="15" spans="1:13" ht="15.6" thickBot="1" x14ac:dyDescent="0.3">
      <c r="A15" s="1" t="s">
        <v>13</v>
      </c>
      <c r="B15" s="2" t="s">
        <v>7</v>
      </c>
      <c r="C15" s="17" t="s">
        <v>15</v>
      </c>
      <c r="D15" s="13" t="s">
        <v>17</v>
      </c>
      <c r="E15" s="14">
        <v>2.4500000000000001E-2</v>
      </c>
      <c r="F15" s="14">
        <v>0.8115</v>
      </c>
      <c r="G15" s="14">
        <v>0.45650000000000002</v>
      </c>
      <c r="H15" s="15">
        <v>3.6900000000000002E-2</v>
      </c>
      <c r="I15" s="15">
        <v>0.82879999999999998</v>
      </c>
      <c r="J15" s="15">
        <v>0.47289999999999999</v>
      </c>
      <c r="K15" s="16">
        <f t="shared" si="1"/>
        <v>1.2400000000000001E-2</v>
      </c>
      <c r="L15" s="16">
        <f t="shared" si="0"/>
        <v>1.7299999999999982E-2</v>
      </c>
      <c r="M15" s="16">
        <f t="shared" si="0"/>
        <v>1.639999999999997E-2</v>
      </c>
    </row>
    <row r="16" spans="1:13" ht="15.6" thickBot="1" x14ac:dyDescent="0.3">
      <c r="A16" s="1" t="s">
        <v>13</v>
      </c>
      <c r="B16" s="2" t="s">
        <v>7</v>
      </c>
      <c r="C16" s="17" t="s">
        <v>16</v>
      </c>
      <c r="D16" s="13" t="s">
        <v>18</v>
      </c>
      <c r="E16" s="14">
        <v>2.3699999999999999E-2</v>
      </c>
      <c r="F16" s="14">
        <v>0.85189999999999999</v>
      </c>
      <c r="G16" s="14">
        <v>0.49399999999999999</v>
      </c>
      <c r="H16" s="15">
        <v>3.56E-2</v>
      </c>
      <c r="I16" s="15">
        <v>0.8327</v>
      </c>
      <c r="J16" s="15">
        <v>0.46050000000000002</v>
      </c>
      <c r="K16" s="16">
        <f t="shared" si="1"/>
        <v>1.1900000000000001E-2</v>
      </c>
      <c r="L16" s="16">
        <f t="shared" si="0"/>
        <v>-1.9199999999999995E-2</v>
      </c>
      <c r="M16" s="16">
        <f t="shared" si="0"/>
        <v>-3.3499999999999974E-2</v>
      </c>
    </row>
    <row r="17" spans="1:13" ht="15.6" thickBot="1" x14ac:dyDescent="0.3">
      <c r="A17" s="1" t="s">
        <v>13</v>
      </c>
      <c r="B17" s="2" t="s">
        <v>7</v>
      </c>
      <c r="C17" s="17" t="s">
        <v>17</v>
      </c>
      <c r="D17" s="13" t="s">
        <v>18</v>
      </c>
      <c r="E17" s="14">
        <v>3.6900000000000002E-2</v>
      </c>
      <c r="F17" s="14">
        <v>0.82879999999999998</v>
      </c>
      <c r="G17" s="14">
        <v>0.47289999999999999</v>
      </c>
      <c r="H17" s="15">
        <v>3.56E-2</v>
      </c>
      <c r="I17" s="15">
        <v>0.8327</v>
      </c>
      <c r="J17" s="15">
        <v>0.46050000000000002</v>
      </c>
      <c r="K17" s="16">
        <f t="shared" si="1"/>
        <v>-1.3000000000000025E-3</v>
      </c>
      <c r="L17" s="16">
        <f t="shared" si="0"/>
        <v>3.9000000000000146E-3</v>
      </c>
      <c r="M17" s="16">
        <f t="shared" si="0"/>
        <v>-1.2399999999999967E-2</v>
      </c>
    </row>
    <row r="18" spans="1:13" ht="21.6" thickBot="1" x14ac:dyDescent="0.3">
      <c r="A18" s="1" t="s">
        <v>13</v>
      </c>
      <c r="B18" s="1" t="s">
        <v>3</v>
      </c>
      <c r="C18" s="17" t="s">
        <v>18</v>
      </c>
      <c r="D18" s="13" t="s">
        <v>48</v>
      </c>
      <c r="E18" s="14">
        <v>3.56E-2</v>
      </c>
      <c r="F18" s="14">
        <v>0.8327</v>
      </c>
      <c r="G18" s="14">
        <v>0.46050000000000002</v>
      </c>
      <c r="H18" s="15">
        <v>2.1999999999999999E-2</v>
      </c>
      <c r="I18" s="15">
        <v>0.82310000000000005</v>
      </c>
      <c r="J18" s="15">
        <v>0.46989999999999998</v>
      </c>
      <c r="K18" s="16">
        <f t="shared" si="1"/>
        <v>-1.3600000000000001E-2</v>
      </c>
      <c r="L18" s="16">
        <f t="shared" ref="L18:L39" si="2">I18-F18</f>
        <v>-9.5999999999999419E-3</v>
      </c>
      <c r="M18" s="16">
        <f t="shared" ref="M18:M39" si="3">J18-G18</f>
        <v>9.3999999999999639E-3</v>
      </c>
    </row>
    <row r="19" spans="1:13" ht="15.6" thickBot="1" x14ac:dyDescent="0.3">
      <c r="A19" s="1" t="s">
        <v>19</v>
      </c>
      <c r="B19" s="5" t="s">
        <v>61</v>
      </c>
      <c r="C19" s="17" t="s">
        <v>20</v>
      </c>
      <c r="D19" s="13" t="s">
        <v>21</v>
      </c>
      <c r="E19" s="14">
        <v>6.1199999999999997E-2</v>
      </c>
      <c r="F19" s="14">
        <v>0.7</v>
      </c>
      <c r="G19" s="14">
        <v>0.29849999999999999</v>
      </c>
      <c r="H19" s="15">
        <v>2.6800000000000001E-2</v>
      </c>
      <c r="I19" s="15">
        <v>0.85580000000000001</v>
      </c>
      <c r="J19" s="15">
        <v>0.6552</v>
      </c>
      <c r="K19" s="16">
        <f t="shared" si="1"/>
        <v>-3.44E-2</v>
      </c>
      <c r="L19" s="16">
        <f t="shared" si="2"/>
        <v>0.15580000000000005</v>
      </c>
      <c r="M19" s="16">
        <f t="shared" si="3"/>
        <v>0.35670000000000002</v>
      </c>
    </row>
    <row r="20" spans="1:13" ht="15.6" thickBot="1" x14ac:dyDescent="0.3">
      <c r="A20" s="1" t="s">
        <v>19</v>
      </c>
      <c r="B20" s="5" t="s">
        <v>61</v>
      </c>
      <c r="C20" s="17" t="s">
        <v>21</v>
      </c>
      <c r="D20" s="13" t="s">
        <v>22</v>
      </c>
      <c r="E20" s="14">
        <v>2.6800000000000001E-2</v>
      </c>
      <c r="F20" s="14">
        <v>0.85580000000000001</v>
      </c>
      <c r="G20" s="14">
        <v>0.6552</v>
      </c>
      <c r="H20" s="15">
        <v>3.2899999999999999E-2</v>
      </c>
      <c r="I20" s="15">
        <v>0.84040000000000004</v>
      </c>
      <c r="J20" s="15">
        <v>0.6532</v>
      </c>
      <c r="K20" s="16">
        <f t="shared" si="1"/>
        <v>6.0999999999999978E-3</v>
      </c>
      <c r="L20" s="16">
        <f t="shared" si="2"/>
        <v>-1.5399999999999969E-2</v>
      </c>
      <c r="M20" s="16">
        <f t="shared" si="3"/>
        <v>-2.0000000000000018E-3</v>
      </c>
    </row>
    <row r="21" spans="1:13" ht="15.6" thickBot="1" x14ac:dyDescent="0.3">
      <c r="A21" s="1" t="s">
        <v>19</v>
      </c>
      <c r="B21" s="2" t="s">
        <v>7</v>
      </c>
      <c r="C21" s="17" t="s">
        <v>22</v>
      </c>
      <c r="D21" s="13" t="s">
        <v>25</v>
      </c>
      <c r="E21" s="14">
        <v>3.2899999999999999E-2</v>
      </c>
      <c r="F21" s="14">
        <v>0.84040000000000004</v>
      </c>
      <c r="G21" s="14">
        <v>0.6532</v>
      </c>
      <c r="H21" s="15">
        <v>4.1099999999999998E-2</v>
      </c>
      <c r="I21" s="15">
        <v>0.82499999999999996</v>
      </c>
      <c r="J21" s="15">
        <v>0.64019999999999999</v>
      </c>
      <c r="K21" s="16">
        <f t="shared" si="1"/>
        <v>8.199999999999999E-3</v>
      </c>
      <c r="L21" s="16">
        <f t="shared" si="2"/>
        <v>-1.540000000000008E-2</v>
      </c>
      <c r="M21" s="16">
        <f t="shared" si="3"/>
        <v>-1.3000000000000012E-2</v>
      </c>
    </row>
    <row r="22" spans="1:13" ht="15.6" thickBot="1" x14ac:dyDescent="0.3">
      <c r="A22" s="1" t="s">
        <v>19</v>
      </c>
      <c r="B22" s="2" t="s">
        <v>7</v>
      </c>
      <c r="C22" s="17" t="s">
        <v>23</v>
      </c>
      <c r="D22" s="13" t="s">
        <v>25</v>
      </c>
      <c r="E22" s="14">
        <v>4.5100000000000001E-2</v>
      </c>
      <c r="F22" s="14">
        <v>0.83650000000000002</v>
      </c>
      <c r="G22" s="14">
        <v>0.63219999999999998</v>
      </c>
      <c r="H22" s="15">
        <v>4.1099999999999998E-2</v>
      </c>
      <c r="I22" s="15">
        <v>0.82499999999999996</v>
      </c>
      <c r="J22" s="15">
        <v>0.64019999999999999</v>
      </c>
      <c r="K22" s="16">
        <f t="shared" si="1"/>
        <v>-4.0000000000000036E-3</v>
      </c>
      <c r="L22" s="16">
        <f t="shared" si="2"/>
        <v>-1.1500000000000066E-2</v>
      </c>
      <c r="M22" s="16">
        <f t="shared" si="3"/>
        <v>8.0000000000000071E-3</v>
      </c>
    </row>
    <row r="23" spans="1:13" ht="15.6" thickBot="1" x14ac:dyDescent="0.3">
      <c r="A23" s="1" t="s">
        <v>19</v>
      </c>
      <c r="B23" s="2" t="s">
        <v>7</v>
      </c>
      <c r="C23" s="17" t="s">
        <v>24</v>
      </c>
      <c r="D23" s="13" t="s">
        <v>26</v>
      </c>
      <c r="E23" s="14">
        <v>4.2900000000000001E-2</v>
      </c>
      <c r="F23" s="14">
        <v>0.81540000000000001</v>
      </c>
      <c r="G23" s="14">
        <v>0.64680000000000004</v>
      </c>
      <c r="H23" s="15">
        <v>4.24E-2</v>
      </c>
      <c r="I23" s="15">
        <v>0.82879999999999998</v>
      </c>
      <c r="J23" s="15">
        <v>0.63759999999999994</v>
      </c>
      <c r="K23" s="16">
        <f t="shared" si="1"/>
        <v>-5.0000000000000044E-4</v>
      </c>
      <c r="L23" s="16">
        <f t="shared" si="2"/>
        <v>1.3399999999999967E-2</v>
      </c>
      <c r="M23" s="16">
        <f t="shared" si="3"/>
        <v>-9.200000000000097E-3</v>
      </c>
    </row>
    <row r="24" spans="1:13" ht="15.6" thickBot="1" x14ac:dyDescent="0.3">
      <c r="A24" s="1" t="s">
        <v>19</v>
      </c>
      <c r="B24" s="2" t="s">
        <v>7</v>
      </c>
      <c r="C24" s="17" t="s">
        <v>25</v>
      </c>
      <c r="D24" s="13" t="s">
        <v>26</v>
      </c>
      <c r="E24" s="14">
        <v>4.1099999999999998E-2</v>
      </c>
      <c r="F24" s="14">
        <v>0.82499999999999996</v>
      </c>
      <c r="G24" s="14">
        <v>0.64019999999999999</v>
      </c>
      <c r="H24" s="15">
        <v>4.24E-2</v>
      </c>
      <c r="I24" s="15">
        <v>0.82879999999999998</v>
      </c>
      <c r="J24" s="15">
        <v>0.63759999999999994</v>
      </c>
      <c r="K24" s="16">
        <f t="shared" si="1"/>
        <v>1.3000000000000025E-3</v>
      </c>
      <c r="L24" s="16">
        <f t="shared" si="2"/>
        <v>3.8000000000000256E-3</v>
      </c>
      <c r="M24" s="16">
        <f t="shared" si="3"/>
        <v>-2.6000000000000467E-3</v>
      </c>
    </row>
    <row r="25" spans="1:13" ht="15.6" thickBot="1" x14ac:dyDescent="0.3">
      <c r="A25" s="1" t="s">
        <v>27</v>
      </c>
      <c r="B25" s="5" t="s">
        <v>61</v>
      </c>
      <c r="C25" s="17" t="s">
        <v>20</v>
      </c>
      <c r="D25" s="13" t="s">
        <v>29</v>
      </c>
      <c r="E25" s="14">
        <v>6.1199999999999997E-2</v>
      </c>
      <c r="F25" s="14">
        <v>0.7</v>
      </c>
      <c r="G25" s="14">
        <v>0.29849999999999999</v>
      </c>
      <c r="H25" s="15">
        <v>5.79E-2</v>
      </c>
      <c r="I25" s="15">
        <v>0.85580000000000001</v>
      </c>
      <c r="J25" s="15">
        <v>0.51629999999999998</v>
      </c>
      <c r="K25" s="16">
        <f t="shared" si="1"/>
        <v>-3.2999999999999974E-3</v>
      </c>
      <c r="L25" s="16">
        <f t="shared" si="2"/>
        <v>0.15580000000000005</v>
      </c>
      <c r="M25" s="16">
        <f t="shared" si="3"/>
        <v>0.21779999999999999</v>
      </c>
    </row>
    <row r="26" spans="1:13" ht="15.6" thickBot="1" x14ac:dyDescent="0.3">
      <c r="A26" s="1" t="s">
        <v>27</v>
      </c>
      <c r="B26" s="2" t="s">
        <v>7</v>
      </c>
      <c r="C26" s="17" t="s">
        <v>28</v>
      </c>
      <c r="D26" s="13" t="s">
        <v>31</v>
      </c>
      <c r="E26" s="14">
        <v>7.1499999999999994E-2</v>
      </c>
      <c r="F26" s="14">
        <v>0.69620000000000004</v>
      </c>
      <c r="G26" s="14">
        <v>0.56289999999999996</v>
      </c>
      <c r="H26" s="15">
        <v>5.2900000000000003E-2</v>
      </c>
      <c r="I26" s="15" t="s">
        <v>41</v>
      </c>
      <c r="J26" s="15">
        <v>0.54600000000000004</v>
      </c>
      <c r="K26" s="16">
        <f t="shared" si="1"/>
        <v>-1.8599999999999992E-2</v>
      </c>
      <c r="L26" s="16" t="e">
        <f t="shared" si="2"/>
        <v>#VALUE!</v>
      </c>
      <c r="M26" s="16">
        <f t="shared" si="3"/>
        <v>-1.6899999999999915E-2</v>
      </c>
    </row>
    <row r="27" spans="1:13" ht="15.6" thickBot="1" x14ac:dyDescent="0.3">
      <c r="A27" s="1" t="s">
        <v>27</v>
      </c>
      <c r="B27" s="2" t="s">
        <v>7</v>
      </c>
      <c r="C27" s="17" t="s">
        <v>29</v>
      </c>
      <c r="D27" s="13" t="s">
        <v>31</v>
      </c>
      <c r="E27" s="14">
        <v>5.79E-2</v>
      </c>
      <c r="F27" s="14">
        <v>0.85580000000000001</v>
      </c>
      <c r="G27" s="14">
        <v>0.51629999999999998</v>
      </c>
      <c r="H27" s="15">
        <v>5.2900000000000003E-2</v>
      </c>
      <c r="I27" s="15" t="s">
        <v>41</v>
      </c>
      <c r="J27" s="15">
        <v>0.54600000000000004</v>
      </c>
      <c r="K27" s="16">
        <f t="shared" si="1"/>
        <v>-4.9999999999999975E-3</v>
      </c>
      <c r="L27" s="16" t="e">
        <f t="shared" si="2"/>
        <v>#VALUE!</v>
      </c>
      <c r="M27" s="16">
        <f t="shared" si="3"/>
        <v>2.970000000000006E-2</v>
      </c>
    </row>
    <row r="28" spans="1:13" ht="15.6" thickBot="1" x14ac:dyDescent="0.3">
      <c r="A28" s="1" t="s">
        <v>27</v>
      </c>
      <c r="B28" s="2" t="s">
        <v>7</v>
      </c>
      <c r="C28" s="17" t="s">
        <v>30</v>
      </c>
      <c r="D28" s="13" t="s">
        <v>32</v>
      </c>
      <c r="E28" s="14">
        <v>3.2800000000000003E-2</v>
      </c>
      <c r="F28" s="14">
        <v>0.75</v>
      </c>
      <c r="G28" s="14">
        <v>0.51890000000000003</v>
      </c>
      <c r="H28" s="15">
        <v>6.1499999999999999E-2</v>
      </c>
      <c r="I28" s="15" t="s">
        <v>41</v>
      </c>
      <c r="J28" s="15">
        <v>0.53749999999999998</v>
      </c>
      <c r="K28" s="16">
        <f t="shared" si="1"/>
        <v>2.8699999999999996E-2</v>
      </c>
      <c r="L28" s="16" t="e">
        <f t="shared" si="2"/>
        <v>#VALUE!</v>
      </c>
      <c r="M28" s="16">
        <f t="shared" si="3"/>
        <v>1.859999999999995E-2</v>
      </c>
    </row>
    <row r="29" spans="1:13" ht="15.6" thickBot="1" x14ac:dyDescent="0.3">
      <c r="A29" s="1" t="s">
        <v>27</v>
      </c>
      <c r="B29" s="2" t="s">
        <v>7</v>
      </c>
      <c r="C29" s="17" t="s">
        <v>31</v>
      </c>
      <c r="D29" s="13" t="s">
        <v>32</v>
      </c>
      <c r="E29" s="14">
        <v>5.2900000000000003E-2</v>
      </c>
      <c r="F29" s="14" t="s">
        <v>41</v>
      </c>
      <c r="G29" s="14">
        <v>0.54600000000000004</v>
      </c>
      <c r="H29" s="15">
        <v>6.1499999999999999E-2</v>
      </c>
      <c r="I29" s="15" t="s">
        <v>41</v>
      </c>
      <c r="J29" s="15">
        <v>0.53749999999999998</v>
      </c>
      <c r="K29" s="16">
        <f t="shared" si="1"/>
        <v>8.5999999999999965E-3</v>
      </c>
      <c r="L29" s="16" t="e">
        <f t="shared" si="2"/>
        <v>#VALUE!</v>
      </c>
      <c r="M29" s="16">
        <f t="shared" si="3"/>
        <v>-8.5000000000000631E-3</v>
      </c>
    </row>
    <row r="30" spans="1:13" ht="31.8" thickBot="1" x14ac:dyDescent="0.3">
      <c r="A30" s="1" t="s">
        <v>27</v>
      </c>
      <c r="B30" s="1" t="s">
        <v>3</v>
      </c>
      <c r="C30" s="17" t="s">
        <v>32</v>
      </c>
      <c r="D30" s="13" t="s">
        <v>49</v>
      </c>
      <c r="E30" s="14">
        <v>6.1499999999999999E-2</v>
      </c>
      <c r="F30" s="14" t="s">
        <v>41</v>
      </c>
      <c r="G30" s="14">
        <v>0.53749999999999998</v>
      </c>
      <c r="H30" s="15">
        <v>6.8699999999999997E-2</v>
      </c>
      <c r="I30" s="15" t="s">
        <v>41</v>
      </c>
      <c r="J30" s="15">
        <v>0.53059999999999996</v>
      </c>
      <c r="K30" s="16">
        <f t="shared" si="1"/>
        <v>7.1999999999999981E-3</v>
      </c>
      <c r="L30" s="16" t="e">
        <f t="shared" si="2"/>
        <v>#VALUE!</v>
      </c>
      <c r="M30" s="16">
        <f t="shared" si="3"/>
        <v>-6.9000000000000172E-3</v>
      </c>
    </row>
    <row r="31" spans="1:13" ht="15.6" thickBot="1" x14ac:dyDescent="0.3">
      <c r="A31" s="1" t="s">
        <v>51</v>
      </c>
      <c r="B31" s="6" t="s">
        <v>1</v>
      </c>
      <c r="C31" s="17" t="s">
        <v>33</v>
      </c>
      <c r="D31" s="13" t="s">
        <v>34</v>
      </c>
      <c r="E31" s="14">
        <v>0.34200000000000003</v>
      </c>
      <c r="F31" s="14">
        <v>0.73650000000000004</v>
      </c>
      <c r="G31" s="14">
        <v>0.41789999999999999</v>
      </c>
      <c r="H31" s="15">
        <v>4.6600000000000003E-2</v>
      </c>
      <c r="I31" s="15">
        <v>0.61539999999999995</v>
      </c>
      <c r="J31" s="15">
        <v>0.61009999999999998</v>
      </c>
      <c r="K31" s="16">
        <f t="shared" si="1"/>
        <v>-0.2954</v>
      </c>
      <c r="L31" s="16">
        <f t="shared" si="2"/>
        <v>-0.1211000000000001</v>
      </c>
      <c r="M31" s="16">
        <f t="shared" si="3"/>
        <v>0.19219999999999998</v>
      </c>
    </row>
    <row r="32" spans="1:13" ht="15.6" thickBot="1" x14ac:dyDescent="0.3">
      <c r="A32" s="1" t="s">
        <v>51</v>
      </c>
      <c r="B32" s="5" t="s">
        <v>61</v>
      </c>
      <c r="C32" s="17" t="s">
        <v>34</v>
      </c>
      <c r="D32" s="13" t="s">
        <v>35</v>
      </c>
      <c r="E32" s="14">
        <v>4.6600000000000003E-2</v>
      </c>
      <c r="F32" s="14">
        <v>0.61539999999999995</v>
      </c>
      <c r="G32" s="14">
        <v>0.61009999999999998</v>
      </c>
      <c r="H32" s="15">
        <v>0.21879999999999999</v>
      </c>
      <c r="I32" s="15">
        <v>0.70379999999999998</v>
      </c>
      <c r="J32" s="15">
        <v>0.41199999999999998</v>
      </c>
      <c r="K32" s="16">
        <f t="shared" si="1"/>
        <v>0.17219999999999999</v>
      </c>
      <c r="L32" s="16">
        <f t="shared" si="2"/>
        <v>8.8400000000000034E-2</v>
      </c>
      <c r="M32" s="16">
        <f t="shared" si="3"/>
        <v>-0.1981</v>
      </c>
    </row>
    <row r="33" spans="1:13" ht="15.6" thickBot="1" x14ac:dyDescent="0.3">
      <c r="A33" s="1" t="s">
        <v>51</v>
      </c>
      <c r="B33" s="2" t="s">
        <v>7</v>
      </c>
      <c r="C33" s="17" t="s">
        <v>35</v>
      </c>
      <c r="D33" s="13" t="s">
        <v>38</v>
      </c>
      <c r="E33" s="14">
        <v>0.21879999999999999</v>
      </c>
      <c r="F33" s="14">
        <v>0.70379999999999998</v>
      </c>
      <c r="G33" s="14">
        <v>0.41199999999999998</v>
      </c>
      <c r="H33" s="15">
        <v>4.6399999999999997E-2</v>
      </c>
      <c r="I33" s="15">
        <v>0.6462</v>
      </c>
      <c r="J33" s="15">
        <v>0.55889999999999995</v>
      </c>
      <c r="K33" s="16">
        <f t="shared" si="1"/>
        <v>-0.1724</v>
      </c>
      <c r="L33" s="16">
        <f t="shared" si="2"/>
        <v>-5.7599999999999985E-2</v>
      </c>
      <c r="M33" s="16">
        <f t="shared" si="3"/>
        <v>0.14689999999999998</v>
      </c>
    </row>
    <row r="34" spans="1:13" ht="15.6" thickBot="1" x14ac:dyDescent="0.3">
      <c r="A34" s="1" t="s">
        <v>51</v>
      </c>
      <c r="B34" s="2" t="s">
        <v>7</v>
      </c>
      <c r="C34" s="17" t="s">
        <v>36</v>
      </c>
      <c r="D34" s="13" t="s">
        <v>38</v>
      </c>
      <c r="E34" s="14">
        <v>3.6799999999999999E-2</v>
      </c>
      <c r="F34" s="14">
        <v>0.64810000000000001</v>
      </c>
      <c r="G34" s="14">
        <v>0.54849999999999999</v>
      </c>
      <c r="H34" s="15">
        <v>4.6399999999999997E-2</v>
      </c>
      <c r="I34" s="15">
        <v>0.6462</v>
      </c>
      <c r="J34" s="15">
        <v>0.55889999999999995</v>
      </c>
      <c r="K34" s="16">
        <f t="shared" si="1"/>
        <v>9.5999999999999974E-3</v>
      </c>
      <c r="L34" s="16">
        <f t="shared" si="2"/>
        <v>-1.9000000000000128E-3</v>
      </c>
      <c r="M34" s="16">
        <f t="shared" si="3"/>
        <v>1.0399999999999965E-2</v>
      </c>
    </row>
    <row r="35" spans="1:13" ht="15.6" thickBot="1" x14ac:dyDescent="0.3">
      <c r="A35" s="1" t="s">
        <v>51</v>
      </c>
      <c r="B35" s="2" t="s">
        <v>7</v>
      </c>
      <c r="C35" s="17" t="s">
        <v>37</v>
      </c>
      <c r="D35" s="13" t="s">
        <v>38</v>
      </c>
      <c r="E35" s="14">
        <v>2.76E-2</v>
      </c>
      <c r="F35" s="14">
        <v>0.66349999999999998</v>
      </c>
      <c r="G35" s="14">
        <v>0.57609999999999995</v>
      </c>
      <c r="H35" s="15">
        <v>4.6399999999999997E-2</v>
      </c>
      <c r="I35" s="15">
        <v>0.6462</v>
      </c>
      <c r="J35" s="15">
        <v>0.55889999999999995</v>
      </c>
      <c r="K35" s="16">
        <f t="shared" si="1"/>
        <v>1.8799999999999997E-2</v>
      </c>
      <c r="L35" s="16">
        <f t="shared" si="2"/>
        <v>-1.7299999999999982E-2</v>
      </c>
      <c r="M35" s="16">
        <f t="shared" si="3"/>
        <v>-1.7199999999999993E-2</v>
      </c>
    </row>
    <row r="36" spans="1:13" ht="15.6" thickBot="1" x14ac:dyDescent="0.3">
      <c r="A36" s="1" t="s">
        <v>51</v>
      </c>
      <c r="B36" s="2" t="s">
        <v>7</v>
      </c>
      <c r="C36" s="17" t="s">
        <v>36</v>
      </c>
      <c r="D36" s="13" t="s">
        <v>40</v>
      </c>
      <c r="E36" s="14">
        <v>3.6799999999999999E-2</v>
      </c>
      <c r="F36" s="14">
        <v>0.64810000000000001</v>
      </c>
      <c r="G36" s="14">
        <v>0.54849999999999999</v>
      </c>
      <c r="H36" s="15">
        <v>4.87E-2</v>
      </c>
      <c r="I36" s="15">
        <v>0.63649999999999995</v>
      </c>
      <c r="J36" s="15">
        <v>0.56179999999999997</v>
      </c>
      <c r="K36" s="16">
        <f t="shared" si="1"/>
        <v>1.1900000000000001E-2</v>
      </c>
      <c r="L36" s="16">
        <f t="shared" si="2"/>
        <v>-1.1600000000000055E-2</v>
      </c>
      <c r="M36" s="16">
        <f t="shared" si="3"/>
        <v>1.3299999999999979E-2</v>
      </c>
    </row>
    <row r="37" spans="1:13" ht="15.6" thickBot="1" x14ac:dyDescent="0.3">
      <c r="A37" s="1" t="s">
        <v>51</v>
      </c>
      <c r="B37" s="2" t="s">
        <v>7</v>
      </c>
      <c r="C37" s="17" t="s">
        <v>38</v>
      </c>
      <c r="D37" s="13" t="s">
        <v>40</v>
      </c>
      <c r="E37" s="14">
        <v>4.6399999999999997E-2</v>
      </c>
      <c r="F37" s="14">
        <v>0.6462</v>
      </c>
      <c r="G37" s="14">
        <v>0.55889999999999995</v>
      </c>
      <c r="H37" s="15">
        <v>4.87E-2</v>
      </c>
      <c r="I37" s="15">
        <v>0.63649999999999995</v>
      </c>
      <c r="J37" s="15">
        <v>0.56179999999999997</v>
      </c>
      <c r="K37" s="16">
        <f t="shared" si="1"/>
        <v>2.3000000000000034E-3</v>
      </c>
      <c r="L37" s="16">
        <f t="shared" si="2"/>
        <v>-9.7000000000000419E-3</v>
      </c>
      <c r="M37" s="16">
        <f t="shared" si="3"/>
        <v>2.9000000000000137E-3</v>
      </c>
    </row>
    <row r="38" spans="1:13" ht="15.6" thickBot="1" x14ac:dyDescent="0.3">
      <c r="A38" s="1" t="s">
        <v>51</v>
      </c>
      <c r="B38" s="2" t="s">
        <v>7</v>
      </c>
      <c r="C38" s="17" t="s">
        <v>39</v>
      </c>
      <c r="D38" s="13" t="s">
        <v>40</v>
      </c>
      <c r="E38" s="14">
        <v>3.2099999999999997E-2</v>
      </c>
      <c r="F38" s="14">
        <v>0.62690000000000001</v>
      </c>
      <c r="G38" s="14">
        <v>0.54869999999999997</v>
      </c>
      <c r="H38" s="15">
        <v>4.87E-2</v>
      </c>
      <c r="I38" s="15">
        <v>0.63649999999999995</v>
      </c>
      <c r="J38" s="15">
        <v>0.56179999999999997</v>
      </c>
      <c r="K38" s="16">
        <f t="shared" si="1"/>
        <v>1.6600000000000004E-2</v>
      </c>
      <c r="L38" s="16">
        <f t="shared" si="2"/>
        <v>9.5999999999999419E-3</v>
      </c>
      <c r="M38" s="16">
        <f t="shared" si="3"/>
        <v>1.3100000000000001E-2</v>
      </c>
    </row>
    <row r="39" spans="1:13" ht="21.6" thickBot="1" x14ac:dyDescent="0.3">
      <c r="A39" s="1" t="s">
        <v>51</v>
      </c>
      <c r="B39" s="1" t="s">
        <v>3</v>
      </c>
      <c r="C39" s="17" t="s">
        <v>40</v>
      </c>
      <c r="D39" s="13" t="s">
        <v>50</v>
      </c>
      <c r="E39" s="14">
        <v>4.87E-2</v>
      </c>
      <c r="F39" s="14">
        <v>0.63649999999999995</v>
      </c>
      <c r="G39" s="14">
        <v>0.56179999999999997</v>
      </c>
      <c r="H39" s="15">
        <v>0.06</v>
      </c>
      <c r="I39" s="15">
        <v>0.68269999999999997</v>
      </c>
      <c r="J39" s="15">
        <v>0.52239999999999998</v>
      </c>
      <c r="K39" s="16">
        <f t="shared" si="1"/>
        <v>1.1299999999999998E-2</v>
      </c>
      <c r="L39" s="16">
        <f t="shared" si="2"/>
        <v>4.6200000000000019E-2</v>
      </c>
      <c r="M39" s="16">
        <f t="shared" si="3"/>
        <v>-3.9399999999999991E-2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泽凯 陈</dc:creator>
  <cp:lastModifiedBy>泽凯 陈</cp:lastModifiedBy>
  <dcterms:created xsi:type="dcterms:W3CDTF">2025-09-28T08:03:07Z</dcterms:created>
  <dcterms:modified xsi:type="dcterms:W3CDTF">2025-09-28T08:19:01Z</dcterms:modified>
</cp:coreProperties>
</file>